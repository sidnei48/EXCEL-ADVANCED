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hidePivotFieldList="1"/>
  <xr:revisionPtr revIDLastSave="1622" documentId="11_7F4755BF84DCCE43E268565A8931F45BFA75341E" xr6:coauthVersionLast="47" xr6:coauthVersionMax="47" xr10:uidLastSave="{210B7E1E-31EC-483F-BF3C-26E5413F06EE}"/>
  <bookViews>
    <workbookView xWindow="240" yWindow="105" windowWidth="14805" windowHeight="8010" firstSheet="1" activeTab="1" xr2:uid="{00000000-000D-0000-FFFF-FFFF00000000}"/>
  </bookViews>
  <sheets>
    <sheet name="Reservas" sheetId="4" r:id="rId1"/>
    <sheet name="Sidnei" sheetId="1" r:id="rId2"/>
    <sheet name="Bianca" sheetId="2" r:id="rId3"/>
  </sheets>
  <definedNames>
    <definedName name="Cabecalho">Sidnei!#REF!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/>
  <c r="S32" i="1"/>
  <c r="Q32" i="1"/>
  <c r="U32" i="1" s="1"/>
  <c r="J33" i="1"/>
  <c r="N33" i="1" s="1"/>
  <c r="G62" i="2"/>
  <c r="G53" i="2"/>
  <c r="K41" i="2"/>
  <c r="M41" i="2"/>
  <c r="C41" i="2"/>
  <c r="E41" i="2"/>
  <c r="S22" i="2"/>
  <c r="U22" i="2"/>
  <c r="K22" i="2"/>
  <c r="M22" i="2"/>
  <c r="O41" i="2"/>
  <c r="G41" i="2"/>
  <c r="W22" i="2"/>
  <c r="C22" i="2"/>
  <c r="E22" i="2"/>
  <c r="C19" i="4"/>
  <c r="E19" i="4"/>
  <c r="G13" i="1"/>
  <c r="C13" i="1"/>
  <c r="C8" i="4"/>
  <c r="G13" i="4" s="1"/>
  <c r="E32" i="1"/>
  <c r="D52" i="2"/>
  <c r="O22" i="2"/>
  <c r="G22" i="2"/>
  <c r="C32" i="1"/>
  <c r="G32" i="1" l="1"/>
</calcChain>
</file>

<file path=xl/sharedStrings.xml><?xml version="1.0" encoding="utf-8"?>
<sst xmlns="http://schemas.openxmlformats.org/spreadsheetml/2006/main" count="333" uniqueCount="63">
  <si>
    <t>Sidnei</t>
  </si>
  <si>
    <t>Valor</t>
  </si>
  <si>
    <t>Bianca</t>
  </si>
  <si>
    <t>Valor2</t>
  </si>
  <si>
    <t>Janeiro</t>
  </si>
  <si>
    <t>Fevereiro</t>
  </si>
  <si>
    <t>Março</t>
  </si>
  <si>
    <t>Abril</t>
  </si>
  <si>
    <t>Maio</t>
  </si>
  <si>
    <t>Junho</t>
  </si>
  <si>
    <t>TOTAL</t>
  </si>
  <si>
    <t>Julho</t>
  </si>
  <si>
    <t>Agosto</t>
  </si>
  <si>
    <t>Setembro</t>
  </si>
  <si>
    <t>Outubro</t>
  </si>
  <si>
    <t>Novembro</t>
  </si>
  <si>
    <t>Dezembro</t>
  </si>
  <si>
    <t>Total</t>
  </si>
  <si>
    <t>Caixa</t>
  </si>
  <si>
    <t>Planos</t>
  </si>
  <si>
    <t>Investimento</t>
  </si>
  <si>
    <t>Roupa</t>
  </si>
  <si>
    <t>Oléo do carro</t>
  </si>
  <si>
    <t>Entradas</t>
  </si>
  <si>
    <t>Depesas</t>
  </si>
  <si>
    <t>Gasto</t>
  </si>
  <si>
    <t>Categoria</t>
  </si>
  <si>
    <t>Frequencia</t>
  </si>
  <si>
    <t>Salario</t>
  </si>
  <si>
    <t>Chacara</t>
  </si>
  <si>
    <t>Outros</t>
  </si>
  <si>
    <t>Uma vez</t>
  </si>
  <si>
    <t>Internet</t>
  </si>
  <si>
    <t>Entretenimento</t>
  </si>
  <si>
    <t>Aluguel</t>
  </si>
  <si>
    <t>Mensalmente</t>
  </si>
  <si>
    <t>Gasolina</t>
  </si>
  <si>
    <t>Decimo</t>
  </si>
  <si>
    <t>Carro</t>
  </si>
  <si>
    <t>Aem</t>
  </si>
  <si>
    <t xml:space="preserve">Saúde </t>
  </si>
  <si>
    <t>Ingles</t>
  </si>
  <si>
    <t>Educação</t>
  </si>
  <si>
    <t>Faculdade</t>
  </si>
  <si>
    <t>Credito</t>
  </si>
  <si>
    <t>Carnaval</t>
  </si>
  <si>
    <t>Casa</t>
  </si>
  <si>
    <t>Boxe</t>
  </si>
  <si>
    <t>Ipva</t>
  </si>
  <si>
    <t>Iptu</t>
  </si>
  <si>
    <t>Saldo</t>
  </si>
  <si>
    <t>Terapia</t>
  </si>
  <si>
    <t>Mars Idiomas</t>
  </si>
  <si>
    <t>Anticoncepcional</t>
  </si>
  <si>
    <t>VR</t>
  </si>
  <si>
    <t>Ricardo</t>
  </si>
  <si>
    <t>Spotify</t>
  </si>
  <si>
    <t>Bonificação</t>
  </si>
  <si>
    <t>Depilaçao</t>
  </si>
  <si>
    <t>Férias</t>
  </si>
  <si>
    <t xml:space="preserve">Chacara </t>
  </si>
  <si>
    <t>Praia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</si>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</sst>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4" fillId="3" borderId="1" xfId="0" applyFont="1" applyFill="1" applyBorder="1"/>
    <xf numFmtId="165" fontId="1" fillId="2" borderId="0" xfId="0" applyNumberFormat="1" applyFont="1" applyFill="1"/>
    <xf numFmtId="165" fontId="2" fillId="0" borderId="0" xfId="0" applyNumberFormat="1" applyFont="1"/>
    <xf numFmtId="165" fontId="0" fillId="0" borderId="0" xfId="0" applyNumberFormat="1"/>
    <xf numFmtId="164" fontId="0" fillId="0" borderId="0" xfId="0" applyNumberFormat="1" applyAlignment="1">
      <alignment wrapText="1"/>
    </xf>
    <xf numFmtId="0" fontId="1" fillId="0" borderId="0" xfId="0" applyFont="1" applyFill="1" applyAlignment="1">
      <alignment wrapText="1"/>
    </xf>
    <xf numFmtId="0" fontId="6" fillId="2" borderId="0" xfId="0" applyFont="1" applyFill="1"/>
    <xf numFmtId="164" fontId="5" fillId="2" borderId="0" xfId="0" applyNumberFormat="1" applyFont="1" applyFill="1" applyAlignment="1">
      <alignment wrapText="1"/>
    </xf>
    <xf numFmtId="0" fontId="0" fillId="0" borderId="0" xfId="0" applyFill="1"/>
    <xf numFmtId="0" fontId="7" fillId="0" borderId="0" xfId="0" applyFont="1"/>
    <xf numFmtId="0" fontId="0" fillId="2" borderId="0" xfId="0" applyFill="1"/>
    <xf numFmtId="0" fontId="1" fillId="4" borderId="0" xfId="0" applyFont="1" applyFill="1"/>
    <xf numFmtId="165" fontId="1" fillId="4" borderId="0" xfId="0" applyNumberFormat="1" applyFont="1" applyFill="1"/>
    <xf numFmtId="0" fontId="1" fillId="4" borderId="0" xfId="0" applyFont="1" applyFill="1" applyAlignment="1">
      <alignment wrapText="1"/>
    </xf>
    <xf numFmtId="0" fontId="8" fillId="0" borderId="0" xfId="0" applyFont="1"/>
    <xf numFmtId="164" fontId="8" fillId="0" borderId="0" xfId="0" applyNumberFormat="1" applyFont="1"/>
  </cellXfs>
  <cellStyles count="1">
    <cellStyle name="Normal" xfId="0" builtinId="0"/>
  </cellStyles>
  <dxfs count="77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164" formatCode="&quot;R$&quot;\ #,##0.00"/>
      <alignment horizontal="general" vertical="bottom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164" formatCode="&quot;R$&quot;\ #,##0.00"/>
      <alignment horizontal="general" vertical="bottom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164" formatCode="&quot;R$&quot;\ #,##0.00"/>
      <alignment horizontal="general" vertical="bottom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164" formatCode="&quot;R$&quot;\ #,##0.00"/>
      <alignment horizontal="general" vertical="bottom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_-[$R$-416]\ * #,##0.00_-;\-[$R$-416]\ * #,##0.00_-;_-[$R$-416]\ * &quot;-&quot;??_-;_-@_-"/>
    </dxf>
    <dxf>
      <numFmt numFmtId="164" formatCode="&quot;R$&quot;\ #,##0.00"/>
      <alignment horizontal="general" vertical="bottom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color theme="1" tint="0.14999847407452621"/>
      </font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</border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numFmt numFmtId="164" formatCode="&quot;R$&quot;\ #,##0.00"/>
    </dxf>
    <dxf>
      <numFmt numFmtId="164" formatCode="&quot;R$&quot;\ #,##0.00"/>
    </dxf>
    <dxf>
      <fill>
        <patternFill patternType="solid">
          <fgColor indexed="64"/>
          <bgColor theme="4"/>
        </patternFill>
      </fill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171450</xdr:rowOff>
    </xdr:from>
    <xdr:to>
      <xdr:col>4</xdr:col>
      <xdr:colOff>590550</xdr:colOff>
      <xdr:row>3</xdr:row>
      <xdr:rowOff>180975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F0AEC654-7719-4CD0-9832-FFE2203D65E9}"/>
            </a:ext>
            <a:ext uri="{147F2762-F138-4A5C-976F-8EAC2B608ADB}">
              <a16:predDERef xmlns:a16="http://schemas.microsoft.com/office/drawing/2014/main" pred="{B2CEE40C-C3EE-4015-9D55-524F33DFBCA5}"/>
            </a:ext>
          </a:extLst>
        </xdr:cNvPr>
        <xdr:cNvSpPr txBox="1"/>
      </xdr:nvSpPr>
      <xdr:spPr>
        <a:xfrm>
          <a:off x="12687300" y="552450"/>
          <a:ext cx="2886075" cy="390525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Reservas</a:t>
          </a:r>
        </a:p>
        <a:p>
          <a:pPr marL="0" indent="0" algn="ctr"/>
          <a:endParaRPr lang="en-US" sz="1800" b="1" i="0" u="none" strike="noStrike">
            <a:solidFill>
              <a:schemeClr val="bg1"/>
            </a:solidFill>
            <a:latin typeface="Aptos Narrow" panose="020B0004020202020204" pitchFamily="34" charset="0"/>
          </a:endParaRPr>
        </a:p>
        <a:p>
          <a:pPr marL="0" indent="0" algn="ctr"/>
          <a:endParaRPr lang="en-US" sz="1800" b="1" i="0" u="none" strike="noStrike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14</xdr:row>
      <xdr:rowOff>180975</xdr:rowOff>
    </xdr:from>
    <xdr:to>
      <xdr:col>6</xdr:col>
      <xdr:colOff>28575</xdr:colOff>
      <xdr:row>16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4DB2F05-5C1B-4A6F-8A83-60EFB1585D8F}"/>
            </a:ext>
            <a:ext uri="{147F2762-F138-4A5C-976F-8EAC2B608ADB}">
              <a16:predDERef xmlns:a16="http://schemas.microsoft.com/office/drawing/2014/main" pred="{661BF6A6-5433-AB0E-FDBB-E61BBB85A9C9}"/>
            </a:ext>
          </a:extLst>
        </xdr:cNvPr>
        <xdr:cNvSpPr txBox="1"/>
      </xdr:nvSpPr>
      <xdr:spPr>
        <a:xfrm>
          <a:off x="2000250" y="2847975"/>
          <a:ext cx="3314700" cy="381000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Dezembro</a:t>
          </a:r>
        </a:p>
      </xdr:txBody>
    </xdr:sp>
    <xdr:clientData/>
  </xdr:twoCellAnchor>
  <xdr:twoCellAnchor>
    <xdr:from>
      <xdr:col>0</xdr:col>
      <xdr:colOff>762000</xdr:colOff>
      <xdr:row>2</xdr:row>
      <xdr:rowOff>9525</xdr:rowOff>
    </xdr:from>
    <xdr:to>
      <xdr:col>3</xdr:col>
      <xdr:colOff>466725</xdr:colOff>
      <xdr:row>4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FE9494-8F30-4276-9FF9-59AC13555DC8}"/>
            </a:ext>
            <a:ext uri="{147F2762-F138-4A5C-976F-8EAC2B608ADB}">
              <a16:predDERef xmlns:a16="http://schemas.microsoft.com/office/drawing/2014/main" pred="{E4DB2F05-5C1B-4A6F-8A83-60EFB1585D8F}"/>
            </a:ext>
          </a:extLst>
        </xdr:cNvPr>
        <xdr:cNvSpPr txBox="1"/>
      </xdr:nvSpPr>
      <xdr:spPr>
        <a:xfrm>
          <a:off x="762000" y="390525"/>
          <a:ext cx="2552700" cy="381000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Reserva de Emergencia</a:t>
          </a:r>
        </a:p>
        <a:p>
          <a:pPr marL="0" indent="0" algn="ctr"/>
          <a:endParaRPr lang="en-US" sz="1800" b="1" i="0" u="none" strike="noStrike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4</xdr:col>
      <xdr:colOff>581025</xdr:colOff>
      <xdr:row>1</xdr:row>
      <xdr:rowOff>180975</xdr:rowOff>
    </xdr:from>
    <xdr:to>
      <xdr:col>7</xdr:col>
      <xdr:colOff>180975</xdr:colOff>
      <xdr:row>3</xdr:row>
      <xdr:rowOff>180975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A1CFFD-C2C2-46A8-86C5-24CF57E52C4A}"/>
            </a:ext>
            <a:ext uri="{147F2762-F138-4A5C-976F-8EAC2B608ADB}">
              <a16:predDERef xmlns:a16="http://schemas.microsoft.com/office/drawing/2014/main" pred="{03FE9494-8F30-4276-9FF9-59AC13555DC8}"/>
            </a:ext>
          </a:extLst>
        </xdr:cNvPr>
        <xdr:cNvSpPr txBox="1"/>
      </xdr:nvSpPr>
      <xdr:spPr>
        <a:xfrm>
          <a:off x="4143375" y="371475"/>
          <a:ext cx="2219325" cy="381000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Planos</a:t>
          </a:r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904875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89E2D6-23A3-411A-8D3A-C847453F7444}"/>
            </a:ext>
            <a:ext uri="{147F2762-F138-4A5C-976F-8EAC2B608ADB}">
              <a16:predDERef xmlns:a16="http://schemas.microsoft.com/office/drawing/2014/main" pred="{51A1CFFD-C2C2-46A8-86C5-24CF57E52C4A}"/>
            </a:ext>
          </a:extLst>
        </xdr:cNvPr>
        <xdr:cNvSpPr txBox="1"/>
      </xdr:nvSpPr>
      <xdr:spPr>
        <a:xfrm>
          <a:off x="7505700" y="2857500"/>
          <a:ext cx="3314700" cy="381000"/>
        </a:xfrm>
        <a:prstGeom prst="round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Janeiro</a:t>
          </a:r>
        </a:p>
        <a:p>
          <a:pPr marL="0" indent="0" algn="ctr"/>
          <a:endParaRPr lang="en-US" sz="1800" b="1" i="0" u="none" strike="noStrike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904875</xdr:colOff>
      <xdr:row>4</xdr:row>
      <xdr:rowOff>171450</xdr:rowOff>
    </xdr:from>
    <xdr:to>
      <xdr:col>5</xdr:col>
      <xdr:colOff>923925</xdr:colOff>
      <xdr:row>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EA5853-103D-9906-EED2-B62F5B057609}"/>
            </a:ext>
          </a:extLst>
        </xdr:cNvPr>
        <xdr:cNvSpPr txBox="1"/>
      </xdr:nvSpPr>
      <xdr:spPr>
        <a:xfrm>
          <a:off x="1514475" y="933450"/>
          <a:ext cx="3695700" cy="3714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Dezembro</a:t>
          </a:r>
        </a:p>
      </xdr:txBody>
    </xdr:sp>
    <xdr:clientData/>
  </xdr:twoCellAnchor>
  <xdr:twoCellAnchor>
    <xdr:from>
      <xdr:col>9</xdr:col>
      <xdr:colOff>895350</xdr:colOff>
      <xdr:row>4</xdr:row>
      <xdr:rowOff>171450</xdr:rowOff>
    </xdr:from>
    <xdr:to>
      <xdr:col>14</xdr:col>
      <xdr:colOff>0</xdr:colOff>
      <xdr:row>6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EAA941-E02D-56FC-5606-FDD3029FE883}"/>
            </a:ext>
            <a:ext uri="{147F2762-F138-4A5C-976F-8EAC2B608ADB}">
              <a16:predDERef xmlns:a16="http://schemas.microsoft.com/office/drawing/2014/main" pred="{E4EA5853-103D-9906-EED2-B62F5B057609}"/>
            </a:ext>
          </a:extLst>
        </xdr:cNvPr>
        <xdr:cNvSpPr txBox="1"/>
      </xdr:nvSpPr>
      <xdr:spPr>
        <a:xfrm>
          <a:off x="8239125" y="933450"/>
          <a:ext cx="3895725" cy="3714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Janeiro</a:t>
          </a:r>
        </a:p>
      </xdr:txBody>
    </xdr:sp>
    <xdr:clientData/>
  </xdr:twoCellAnchor>
  <xdr:twoCellAnchor>
    <xdr:from>
      <xdr:col>18</xdr:col>
      <xdr:colOff>314325</xdr:colOff>
      <xdr:row>4</xdr:row>
      <xdr:rowOff>161925</xdr:rowOff>
    </xdr:from>
    <xdr:to>
      <xdr:col>21</xdr:col>
      <xdr:colOff>781050</xdr:colOff>
      <xdr:row>6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683D11-1AE3-4AE0-AC6B-F989F6758901}"/>
            </a:ext>
            <a:ext uri="{147F2762-F138-4A5C-976F-8EAC2B608ADB}">
              <a16:predDERef xmlns:a16="http://schemas.microsoft.com/office/drawing/2014/main" pred="{BEEAA941-E02D-56FC-5606-FDD3029FE883}"/>
            </a:ext>
          </a:extLst>
        </xdr:cNvPr>
        <xdr:cNvSpPr txBox="1"/>
      </xdr:nvSpPr>
      <xdr:spPr>
        <a:xfrm>
          <a:off x="15792450" y="923925"/>
          <a:ext cx="3895725" cy="3714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Fevereiro</a:t>
          </a:r>
        </a:p>
        <a:p>
          <a:pPr marL="0" indent="0" algn="ctr"/>
          <a:endParaRPr lang="en-US" sz="1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</xdr:col>
      <xdr:colOff>742950</xdr:colOff>
      <xdr:row>23</xdr:row>
      <xdr:rowOff>161925</xdr:rowOff>
    </xdr:from>
    <xdr:to>
      <xdr:col>6</xdr:col>
      <xdr:colOff>19050</xdr:colOff>
      <xdr:row>25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825CCF-BBF9-4FB0-8D01-74C6843C5916}"/>
            </a:ext>
            <a:ext uri="{147F2762-F138-4A5C-976F-8EAC2B608ADB}">
              <a16:predDERef xmlns:a16="http://schemas.microsoft.com/office/drawing/2014/main" pred="{76683D11-1AE3-4AE0-AC6B-F989F6758901}"/>
            </a:ext>
          </a:extLst>
        </xdr:cNvPr>
        <xdr:cNvSpPr txBox="1"/>
      </xdr:nvSpPr>
      <xdr:spPr>
        <a:xfrm>
          <a:off x="1352550" y="4543425"/>
          <a:ext cx="3895725" cy="3714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Março</a:t>
          </a:r>
        </a:p>
        <a:p>
          <a:pPr marL="0" indent="0" algn="ctr"/>
          <a:endParaRPr lang="en-US" sz="1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895350</xdr:colOff>
      <xdr:row>23</xdr:row>
      <xdr:rowOff>161925</xdr:rowOff>
    </xdr:from>
    <xdr:to>
      <xdr:col>14</xdr:col>
      <xdr:colOff>0</xdr:colOff>
      <xdr:row>25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037234-4ED1-4443-9F48-9439311910C9}"/>
            </a:ext>
            <a:ext uri="{147F2762-F138-4A5C-976F-8EAC2B608ADB}">
              <a16:predDERef xmlns:a16="http://schemas.microsoft.com/office/drawing/2014/main" pred="{D7825CCF-BBF9-4FB0-8D01-74C6843C5916}"/>
            </a:ext>
          </a:extLst>
        </xdr:cNvPr>
        <xdr:cNvSpPr txBox="1"/>
      </xdr:nvSpPr>
      <xdr:spPr>
        <a:xfrm>
          <a:off x="8239125" y="4543425"/>
          <a:ext cx="3895725" cy="3714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Abril</a:t>
          </a:r>
        </a:p>
        <a:p>
          <a:pPr marL="0" indent="0" algn="ctr"/>
          <a:endParaRPr lang="en-US" sz="1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121BC6-095B-464D-B2E2-A7995E32EAFB}" name="Tabela261015" displayName="Tabela261015" ref="B6:E19" totalsRowCount="1">
  <autoFilter ref="B6:E18" xr:uid="{FC121BC6-095B-464D-B2E2-A7995E32EAFB}"/>
  <tableColumns count="4">
    <tableColumn id="1" xr3:uid="{E7B892BA-7F9C-406C-B810-66182AB87B51}" name="Sidnei" totalsRowLabel="Total"/>
    <tableColumn id="2" xr3:uid="{CE5AE2C6-404A-48AA-87A4-CD45F5A9240F}" name="Valor" totalsRowFunction="custom" dataDxfId="75" totalsRowDxfId="76">
      <totalsRowFormula>SUM(C7:C18)</totalsRowFormula>
    </tableColumn>
    <tableColumn id="3" xr3:uid="{8F94FBD8-363D-4736-A296-27D81CB6146D}" name="Bianca" totalsRowLabel="Total"/>
    <tableColumn id="4" xr3:uid="{0C7DDB1C-B2E3-483E-BACB-C16B8196052F}" name="Valor2" totalsRowFunction="custom" dataDxfId="73" totalsRowDxfId="74">
      <totalsRowFormula>SUM(E7:E18)</totalsRow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58EF53F-4D37-43A7-BCC8-CDA91F9F958C}" name="Tabela1116" displayName="Tabela1116" ref="G12:G13" totalsRowShown="0" headerRowDxfId="72">
  <autoFilter ref="G12:G13" xr:uid="{258EF53F-4D37-43A7-BCC8-CDA91F9F958C}"/>
  <tableColumns count="1">
    <tableColumn id="1" xr3:uid="{CD441BAF-6B51-4F4A-A790-168E0AF3644C}" name="TOTAL">
      <calculatedColumnFormula>SUM(C19:E19)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89DB0-0166-4D06-A978-CABD1D4FC3C9}" name="Tabela2" displayName="Tabela2" ref="F6:G13" totalsRowCount="1">
  <autoFilter ref="F6:G12" xr:uid="{EB989DB0-0166-4D06-A978-CABD1D4FC3C9}"/>
  <tableColumns count="2">
    <tableColumn id="1" xr3:uid="{E299FEA3-CF6E-49CF-AA42-E3EB1836F5BA}" name="Planos"/>
    <tableColumn id="2" xr3:uid="{A095EA32-6287-4B27-9F38-C9DFEA740F1C}" name="Valor" totalsRowFunction="custom" dataDxfId="70" totalsRowDxfId="71">
      <totalsRowFormula>SUM(G7:G12)</totalsRowFormula>
    </tableColumn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C28AB-4738-4CAF-AED5-EBF750489405}" name="Tabela14" displayName="Tabela14" ref="B19:G32" totalsRowCount="1" headerRowDxfId="69" totalsRowDxfId="68">
  <autoFilter ref="B19:G31" xr:uid="{08FC28AB-4738-4CAF-AED5-EBF750489405}"/>
  <sortState xmlns:xlrd2="http://schemas.microsoft.com/office/spreadsheetml/2017/richdata2" ref="B20:G31">
    <sortCondition ref="E19:E31"/>
  </sortState>
  <tableColumns count="6">
    <tableColumn id="1" xr3:uid="{219106C7-4905-4052-B56C-2CAF5388839F}" name="Entradas" totalsRowLabel="Total" totalsRowDxfId="67"/>
    <tableColumn id="2" xr3:uid="{5F3AB9ED-DF21-4D4A-BAE8-5E2235564266}" name="Valor" totalsRowFunction="custom" dataDxfId="65" totalsRowDxfId="66">
      <totalsRowFormula>SUM(C20,C21,C22,C23,C24,C25,C26,C27,C28,C31)</totalsRowFormula>
    </tableColumn>
    <tableColumn id="3" xr3:uid="{3BB5C00E-CED9-4372-83F1-FDFC99C0E169}" name="Depesas"/>
    <tableColumn id="4" xr3:uid="{2F82DF10-697C-4FE0-BBA6-C4B07D99CCAD}" name="Gasto" totalsRowFunction="custom" dataDxfId="63" totalsRowDxfId="64">
      <totalsRowFormula>SUM(E20:E31,)</totalsRowFormula>
    </tableColumn>
    <tableColumn id="5" xr3:uid="{EBC45C18-D63A-4E02-90F1-ED03E95E9F90}" name="Categoria" dataDxfId="61" totalsRowDxfId="62"/>
    <tableColumn id="6" xr3:uid="{316547D2-7C97-4E85-88F5-D1CEB9CE438B}" name="Frequencia" totalsRowFunction="custom" totalsRowDxfId="60">
      <totalsRowFormula>C32-E32</totalsRow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692A79-B0B6-46D6-B0BB-A16B29AD9A08}" name="Tabela26" displayName="Tabela26" ref="B6:C13" totalsRowCount="1">
  <autoFilter ref="B6:C12" xr:uid="{E2692A79-B0B6-46D6-B0BB-A16B29AD9A08}"/>
  <tableColumns count="2">
    <tableColumn id="1" xr3:uid="{BD33EDEA-84AA-4F28-A7F3-CCEF7676F514}" name="Caixa" totalsRowLabel="Total"/>
    <tableColumn id="2" xr3:uid="{705319F1-E2A4-4125-A64E-19DA36403489}" name="Valor" totalsRowFunction="custom" dataDxfId="58" totalsRowDxfId="59">
      <totalsRowFormula>SUM(C7:C11)</totalsRow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7CA55C-B450-4ED5-AC9A-89F9CF882653}" name="Tabela145" displayName="Tabela145" ref="I19:N33" totalsRowCount="1" headerRowDxfId="57" totalsRowDxfId="56">
  <autoFilter ref="I19:N32" xr:uid="{787CA55C-B450-4ED5-AC9A-89F9CF882653}"/>
  <sortState xmlns:xlrd2="http://schemas.microsoft.com/office/spreadsheetml/2017/richdata2" ref="I20:N31">
    <sortCondition ref="L16:L28"/>
  </sortState>
  <tableColumns count="6">
    <tableColumn id="1" xr3:uid="{E01A3475-F031-403A-8866-15F78A850DB3}" name="Entradas" totalsRowLabel="Total" totalsRowDxfId="55"/>
    <tableColumn id="2" xr3:uid="{847A985A-1DA6-4036-BB44-5342FA035418}" name="Valor" totalsRowFunction="custom" dataDxfId="53" totalsRowDxfId="54">
      <totalsRowFormula>SUM(J20,J21,J22,J23,J24,J25,J26,J27,J28,J32)</totalsRowFormula>
    </tableColumn>
    <tableColumn id="3" xr3:uid="{C9BEEC30-4BB4-497D-8ADE-175A4AFCD905}" name="Depesas"/>
    <tableColumn id="4" xr3:uid="{FA644B57-FF69-427A-BF4E-B73DFE3EAA82}" name="Gasto" totalsRowFunction="custom" dataDxfId="51" totalsRowDxfId="52">
      <totalsRowFormula>SUM(L20:L32,)</totalsRowFormula>
    </tableColumn>
    <tableColumn id="5" xr3:uid="{3A93FFC9-CFC7-493E-B0C2-18297B876258}" name="Categoria" dataDxfId="49" totalsRowDxfId="50"/>
    <tableColumn id="6" xr3:uid="{0FE77D0E-5430-47ED-A7FE-D3EB37F156AE}" name="Frequencia" totalsRowFunction="custom" totalsRowDxfId="48">
      <totalsRowFormula>J33-L33</totalsRowFormula>
    </tableColumn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7F8343-CC8C-41DF-9430-49C878E26AD7}" name="Tabela14514" displayName="Tabela14514" ref="P19:U32" totalsRowCount="1">
  <autoFilter ref="P19:U31" xr:uid="{587F8343-CC8C-41DF-9430-49C878E26AD7}"/>
  <sortState xmlns:xlrd2="http://schemas.microsoft.com/office/spreadsheetml/2017/richdata2" ref="P20:U31">
    <sortCondition ref="S16:S28"/>
  </sortState>
  <tableColumns count="6">
    <tableColumn id="1" xr3:uid="{5AC77615-608A-4B54-ADBA-9A1B87DDB4AA}" name="Entradas" totalsRowLabel="Total" totalsRowDxfId="47"/>
    <tableColumn id="2" xr3:uid="{FC919FF0-A6C4-46BC-9CC2-CCD789AAAD15}" name="Valor" totalsRowFunction="custom" dataDxfId="45" totalsRowDxfId="46">
      <totalsRowFormula>SUM(Q20,Q21,Q22,Q23,Q24,Q25,Q26,Q27,Q28,Q31)</totalsRowFormula>
    </tableColumn>
    <tableColumn id="3" xr3:uid="{B2ED33FB-FEDE-401F-8A24-8AB3BAA64351}" name="Depesas"/>
    <tableColumn id="4" xr3:uid="{ACCDC0C3-A04A-4EEE-A0AF-CF693519537D}" name="Gasto" totalsRowFunction="custom" dataDxfId="43" totalsRowDxfId="44">
      <totalsRowFormula>SUM(S20:S30,)</totalsRowFormula>
    </tableColumn>
    <tableColumn id="5" xr3:uid="{7D8451FD-24AC-4DF5-A3AD-871D2BE9983E}" name="Categoria" dataDxfId="41" totalsRowDxfId="42"/>
    <tableColumn id="6" xr3:uid="{632DD86C-EF63-4523-B134-8418BD3E78EB}" name="Frequencia" totalsRowFunction="custom" totalsRowDxfId="40">
      <totalsRowFormula>Q32-S32</totalsRowFormula>
    </tableColumn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F30754-BEC6-49B4-92A2-176449CEEC5E}" name="Tabela17" displayName="Tabela17" ref="B8:G22" totalsRowCount="1">
  <autoFilter ref="B8:G21" xr:uid="{F8F30754-BEC6-49B4-92A2-176449CEEC5E}"/>
  <sortState xmlns:xlrd2="http://schemas.microsoft.com/office/spreadsheetml/2017/richdata2" ref="B9:G21">
    <sortCondition ref="D8:D21"/>
  </sortState>
  <tableColumns count="6">
    <tableColumn id="1" xr3:uid="{22F67248-F2DB-40F7-B12B-A7DD0397644E}" name="Entradas" totalsRowLabel="Total"/>
    <tableColumn id="2" xr3:uid="{AE97A989-1353-456B-9ED6-86CCB55B4047}" name="Valor" totalsRowFunction="custom" dataDxfId="38" totalsRowDxfId="39">
      <totalsRowFormula>SUM(C9:C21)</totalsRowFormula>
    </tableColumn>
    <tableColumn id="3" xr3:uid="{79036735-2F1B-4315-862B-7998DA8AAA14}" name="Depesas"/>
    <tableColumn id="4" xr3:uid="{C0E21CF0-CEF7-4162-938C-D75825D45CEB}" name="Gasto" totalsRowFunction="custom" dataDxfId="36" totalsRowDxfId="37">
      <totalsRowFormula>SUM(E9:E21)</totalsRowFormula>
    </tableColumn>
    <tableColumn id="5" xr3:uid="{1039A674-FFA6-4EAE-A0E9-031DF459DCEF}" name="Categoria" dataDxfId="34" totalsRowDxfId="35"/>
    <tableColumn id="6" xr3:uid="{EBC3648E-4DE5-48E7-9998-83549B2430B1}" name="Frequencia" totalsRowFunction="custom" totalsRowDxfId="33">
      <totalsRowFormula>C22-E22</totalsRow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78666B-14E2-4327-BD9B-05EC054231D2}" name="Tabela178" displayName="Tabela178" ref="J8:O22" totalsRowCount="1">
  <autoFilter ref="J8:O21" xr:uid="{A178666B-14E2-4327-BD9B-05EC054231D2}"/>
  <sortState xmlns:xlrd2="http://schemas.microsoft.com/office/spreadsheetml/2017/richdata2" ref="J9:O21">
    <sortCondition ref="L8:L21"/>
  </sortState>
  <tableColumns count="6">
    <tableColumn id="1" xr3:uid="{15F3300E-3E8F-4311-975F-388A4107F3D3}" name="Entradas" totalsRowLabel="Total"/>
    <tableColumn id="2" xr3:uid="{0D28E419-5A7D-4AD4-9FF1-C971F5921526}" name="Valor" totalsRowFunction="custom" dataDxfId="31" totalsRowDxfId="32">
      <totalsRowFormula>SUM(K9:K21)</totalsRowFormula>
    </tableColumn>
    <tableColumn id="3" xr3:uid="{F037CDF0-4618-4CC2-8EC2-553804ECFFE8}" name="Depesas"/>
    <tableColumn id="4" xr3:uid="{A52D516C-7CA1-4651-BD05-39BEF3BED79C}" name="Gasto" totalsRowFunction="custom" dataDxfId="29" totalsRowDxfId="30">
      <totalsRowFormula>SUM(M9:M21)</totalsRowFormula>
    </tableColumn>
    <tableColumn id="5" xr3:uid="{D8CEEF36-5A82-47B1-A59D-A540F425DAA5}" name="Categoria" dataDxfId="27" totalsRowDxfId="28"/>
    <tableColumn id="6" xr3:uid="{4ED97257-B4E4-487D-9C24-80D3BCAE27AA}" name="Frequencia" totalsRowFunction="custom" totalsRowDxfId="26">
      <totalsRowFormula>K22-M22</totalsRow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877DACC-13EA-4512-99D9-9B715B276B11}" name="Tabela10" displayName="Tabela10" ref="C46:D52" totalsRowShown="0">
  <autoFilter ref="C46:D52" xr:uid="{A877DACC-13EA-4512-99D9-9B715B276B11}"/>
  <tableColumns count="2">
    <tableColumn id="1" xr3:uid="{EDE142EE-8D7E-409D-9312-BAFF0CAE6050}" name="Mes"/>
    <tableColumn id="2" xr3:uid="{1E12DA4F-CDF6-4772-83DC-8A04E4B5723F}" name="Valor" dataDxfId="25">
      <calculatedColumnFormula>SUM(C22:C25)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B69C8-1092-4E6F-B10D-BFD5165D141A}" name="Tabela1782" displayName="Tabela1782" ref="R8:W22" totalsRowCount="1">
  <autoFilter ref="R8:W21" xr:uid="{98DB69C8-1092-4E6F-B10D-BFD5165D141A}"/>
  <sortState xmlns:xlrd2="http://schemas.microsoft.com/office/spreadsheetml/2017/richdata2" ref="R9:W21">
    <sortCondition ref="T8:T21"/>
  </sortState>
  <tableColumns count="6">
    <tableColumn id="1" xr3:uid="{84D24190-CB8F-4521-BB7C-4FAF0FCA16F3}" name="Entradas" totalsRowLabel="Total"/>
    <tableColumn id="2" xr3:uid="{B3D5302C-04FC-4FC3-B50B-46935A7B32CA}" name="Valor" totalsRowFunction="custom" dataDxfId="23" totalsRowDxfId="24">
      <totalsRowFormula>SUM(S9:S21)</totalsRowFormula>
    </tableColumn>
    <tableColumn id="3" xr3:uid="{69EAE2BC-88E6-44EC-9FBD-5348266EFCB4}" name="Depesas"/>
    <tableColumn id="4" xr3:uid="{3AD03DF3-D5E2-41FD-982C-4165BE4754D2}" name="Gasto" totalsRowFunction="custom" dataDxfId="21" totalsRowDxfId="22">
      <totalsRowFormula>SUM(U9:U21)</totalsRowFormula>
    </tableColumn>
    <tableColumn id="5" xr3:uid="{49DFFFD0-5C2D-4C3B-B730-EFFB29FAF674}" name="Categoria" dataDxfId="19" totalsRowDxfId="20"/>
    <tableColumn id="6" xr3:uid="{0FE5E074-61AE-4476-93C3-248C2797390B}" name="Frequencia" totalsRowFunction="custom" totalsRowDxfId="18">
      <totalsRowFormula>S22-U22</totalsRow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8B5F51-BCF5-4EE7-B286-74133A77790A}" name="Tabela17829" displayName="Tabela17829" ref="B27:G41" totalsRowCount="1">
  <autoFilter ref="B27:G40" xr:uid="{448B5F51-BCF5-4EE7-B286-74133A77790A}"/>
  <sortState xmlns:xlrd2="http://schemas.microsoft.com/office/spreadsheetml/2017/richdata2" ref="B28:G40">
    <sortCondition ref="D8:D21"/>
  </sortState>
  <tableColumns count="6">
    <tableColumn id="1" xr3:uid="{9F7971E9-BE0E-4700-99DF-59EDE8BD7BA6}" name="Entradas" totalsRowLabel="Total"/>
    <tableColumn id="2" xr3:uid="{4B6FD98D-5948-44F2-989A-E0D9063B5BCF}" name="Valor" totalsRowFunction="custom" dataDxfId="16" totalsRowDxfId="17">
      <totalsRowFormula>SUM(C28:C40)</totalsRowFormula>
    </tableColumn>
    <tableColumn id="3" xr3:uid="{6274E7DA-F92C-408D-85CA-47BED32CF06A}" name="Depesas"/>
    <tableColumn id="4" xr3:uid="{0A40E820-DA36-4790-A393-35556ADCD946}" name="Gasto" totalsRowFunction="custom" dataDxfId="14" totalsRowDxfId="15">
      <totalsRowFormula>SUM(E28:E40)</totalsRowFormula>
    </tableColumn>
    <tableColumn id="5" xr3:uid="{E0458A90-27C9-4745-9D26-5791400ACB09}" name="Categoria" dataDxfId="12" totalsRowDxfId="13"/>
    <tableColumn id="6" xr3:uid="{212722CD-4332-4EF7-BED5-0839DB3D34E5}" name="Frequencia" totalsRowFunction="custom" totalsRowDxfId="11">
      <totalsRowFormula>C41-E41</totalsRow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B5B557-BD9D-4B29-AEB6-09652FA6451E}" name="Tabela178210" displayName="Tabela178210" ref="J27:O41" totalsRowCount="1">
  <autoFilter ref="J27:O40" xr:uid="{97B5B557-BD9D-4B29-AEB6-09652FA6451E}"/>
  <sortState xmlns:xlrd2="http://schemas.microsoft.com/office/spreadsheetml/2017/richdata2" ref="J28:O40">
    <sortCondition ref="L8:L21"/>
  </sortState>
  <tableColumns count="6">
    <tableColumn id="1" xr3:uid="{13249320-7CD7-421F-9979-2CD343B42CEC}" name="Entradas" totalsRowLabel="Total"/>
    <tableColumn id="2" xr3:uid="{D066FE14-58FE-4429-B54C-F394D3A25E2C}" name="Valor" totalsRowFunction="custom" dataDxfId="9" totalsRowDxfId="10">
      <totalsRowFormula>SUM(K28:K40)</totalsRowFormula>
    </tableColumn>
    <tableColumn id="3" xr3:uid="{25A03DC6-E559-4984-8C7C-E578D18CBE1B}" name="Depesas"/>
    <tableColumn id="4" xr3:uid="{8D6710C7-3226-42C4-90FB-1999A138B8CA}" name="Gasto" totalsRowFunction="custom" dataDxfId="7" totalsRowDxfId="8">
      <totalsRowFormula>SUM(M28:M40)</totalsRowFormula>
    </tableColumn>
    <tableColumn id="5" xr3:uid="{F6C4728A-539F-4884-90FA-D9036AA9BC0B}" name="Categoria" dataDxfId="5" totalsRowDxfId="6"/>
    <tableColumn id="6" xr3:uid="{9D7DDFE4-5429-498D-9357-0BDC454283BB}" name="Frequencia" totalsRowFunction="custom" totalsRowDxfId="4">
      <totalsRowFormula>K41-M41</totalsRow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F42EA2-767A-4D2A-BB80-A6AA138AA54F}" name="Tabela2613" displayName="Tabela2613" ref="F46:G53" totalsRowCount="1">
  <autoFilter ref="F46:G52" xr:uid="{4EF42EA2-767A-4D2A-BB80-A6AA138AA54F}"/>
  <tableColumns count="2">
    <tableColumn id="1" xr3:uid="{E450B749-FD5F-47D2-8242-9818F876DA5B}" name="Caixa" totalsRowLabel="Total"/>
    <tableColumn id="2" xr3:uid="{A3088B05-8F7C-4091-9DD1-59F87F0D422C}" name="Valor" totalsRowFunction="custom" dataDxfId="2" totalsRowDxfId="3">
      <totalsRowFormula>SUM(G47:G52)</totalsRowFormula>
    </tableColumn>
  </tableColumns>
  <tableStyleInfo name="TableStyleMedium2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FC9375-D006-40F4-84AB-A5E71F6E629E}" name="Tabela261317" displayName="Tabela261317" ref="F55:G62" totalsRowCount="1">
  <autoFilter ref="F55:G61" xr:uid="{DCFC9375-D006-40F4-84AB-A5E71F6E629E}"/>
  <tableColumns count="2">
    <tableColumn id="1" xr3:uid="{3010A7CC-75F9-4897-BC07-316932B410B2}" name="Caixa" totalsRowLabel="Total"/>
    <tableColumn id="2" xr3:uid="{8D66E443-2F7A-436C-8237-1CA60584416B}" name="Valor" totalsRowFunction="custom" dataDxfId="0" totalsRowDxfId="1">
      <totalsRowFormula>SUM(G56:G61)</totalsRow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9A84-0369-4DE7-A643-95C5C1817FCE}">
  <dimension ref="B6:G19"/>
  <sheetViews>
    <sheetView workbookViewId="0">
      <selection activeCell="E19" sqref="E19"/>
    </sheetView>
  </sheetViews>
  <sheetFormatPr defaultRowHeight="15"/>
  <cols>
    <col min="2" max="2" width="11.140625" customWidth="1"/>
    <col min="3" max="3" width="12.5703125" customWidth="1"/>
    <col min="4" max="4" width="11.5703125" customWidth="1"/>
    <col min="5" max="5" width="13.7109375" customWidth="1"/>
    <col min="7" max="7" width="18.5703125" customWidth="1"/>
  </cols>
  <sheetData>
    <row r="6" spans="2:7">
      <c r="B6" s="1" t="s">
        <v>0</v>
      </c>
      <c r="C6" s="1" t="s">
        <v>1</v>
      </c>
      <c r="D6" s="1" t="s">
        <v>2</v>
      </c>
      <c r="E6" s="1" t="s">
        <v>3</v>
      </c>
    </row>
    <row r="7" spans="2:7">
      <c r="B7" t="s">
        <v>4</v>
      </c>
      <c r="C7" s="4">
        <v>0</v>
      </c>
      <c r="D7" t="s">
        <v>4</v>
      </c>
      <c r="E7" s="4">
        <v>0</v>
      </c>
    </row>
    <row r="8" spans="2:7">
      <c r="B8" t="s">
        <v>5</v>
      </c>
      <c r="C8" s="4">
        <f>0</f>
        <v>0</v>
      </c>
      <c r="D8" t="s">
        <v>5</v>
      </c>
      <c r="E8" s="4">
        <v>0</v>
      </c>
    </row>
    <row r="9" spans="2:7">
      <c r="B9" t="s">
        <v>6</v>
      </c>
      <c r="C9" s="4">
        <v>0</v>
      </c>
      <c r="D9" t="s">
        <v>6</v>
      </c>
      <c r="E9" s="4">
        <v>0</v>
      </c>
    </row>
    <row r="10" spans="2:7">
      <c r="B10" t="s">
        <v>7</v>
      </c>
      <c r="C10" s="4">
        <v>0</v>
      </c>
      <c r="D10" t="s">
        <v>7</v>
      </c>
      <c r="E10" s="4">
        <v>0</v>
      </c>
    </row>
    <row r="11" spans="2:7">
      <c r="B11" t="s">
        <v>8</v>
      </c>
      <c r="C11" s="4">
        <v>0</v>
      </c>
      <c r="D11" t="s">
        <v>8</v>
      </c>
      <c r="E11" s="4">
        <v>0</v>
      </c>
    </row>
    <row r="12" spans="2:7">
      <c r="B12" t="s">
        <v>9</v>
      </c>
      <c r="C12" s="4">
        <v>0</v>
      </c>
      <c r="D12" t="s">
        <v>9</v>
      </c>
      <c r="E12" s="4">
        <v>0</v>
      </c>
      <c r="G12" s="17" t="s">
        <v>10</v>
      </c>
    </row>
    <row r="13" spans="2:7">
      <c r="B13" t="s">
        <v>11</v>
      </c>
      <c r="C13" s="4">
        <v>0</v>
      </c>
      <c r="D13" t="s">
        <v>11</v>
      </c>
      <c r="E13" s="4">
        <v>0</v>
      </c>
      <c r="G13" s="4">
        <f>SUM(C19:E19)</f>
        <v>350</v>
      </c>
    </row>
    <row r="14" spans="2:7">
      <c r="B14" t="s">
        <v>12</v>
      </c>
      <c r="C14" s="4">
        <v>0</v>
      </c>
      <c r="D14" t="s">
        <v>12</v>
      </c>
      <c r="E14" s="4">
        <v>0</v>
      </c>
    </row>
    <row r="15" spans="2:7">
      <c r="B15" t="s">
        <v>13</v>
      </c>
      <c r="C15" s="4">
        <v>0</v>
      </c>
      <c r="D15" t="s">
        <v>13</v>
      </c>
      <c r="E15" s="4">
        <v>0</v>
      </c>
    </row>
    <row r="16" spans="2:7">
      <c r="B16" t="s">
        <v>14</v>
      </c>
      <c r="C16" s="4">
        <v>0</v>
      </c>
      <c r="D16" t="s">
        <v>14</v>
      </c>
      <c r="E16" s="4">
        <v>0</v>
      </c>
    </row>
    <row r="17" spans="2:5">
      <c r="B17" t="s">
        <v>15</v>
      </c>
      <c r="C17" s="4">
        <v>150</v>
      </c>
      <c r="D17" t="s">
        <v>15</v>
      </c>
      <c r="E17" s="4">
        <v>100</v>
      </c>
    </row>
    <row r="18" spans="2:5">
      <c r="B18" t="s">
        <v>16</v>
      </c>
      <c r="C18" s="4">
        <v>0</v>
      </c>
      <c r="D18" t="s">
        <v>16</v>
      </c>
      <c r="E18" s="4">
        <v>100</v>
      </c>
    </row>
    <row r="19" spans="2:5">
      <c r="B19" t="s">
        <v>17</v>
      </c>
      <c r="C19" s="4">
        <f>SUM(C7:C18)</f>
        <v>150</v>
      </c>
      <c r="D19" t="s">
        <v>17</v>
      </c>
      <c r="E19" s="4">
        <f>SUM(E7:E18)</f>
        <v>200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2"/>
  <sheetViews>
    <sheetView tabSelected="1" topLeftCell="E14" workbookViewId="0">
      <selection activeCell="M34" activeCellId="1" sqref="L33 M34"/>
    </sheetView>
  </sheetViews>
  <sheetFormatPr defaultRowHeight="15"/>
  <cols>
    <col min="1" max="1" width="18.85546875" customWidth="1"/>
    <col min="2" max="2" width="11.85546875" customWidth="1"/>
    <col min="3" max="3" width="12" customWidth="1"/>
    <col min="4" max="4" width="10.7109375" customWidth="1"/>
    <col min="5" max="5" width="11.42578125" customWidth="1"/>
    <col min="6" max="6" width="14.42578125" customWidth="1"/>
    <col min="7" max="7" width="13.42578125" customWidth="1"/>
    <col min="9" max="9" width="10.7109375" customWidth="1"/>
    <col min="10" max="10" width="11.5703125" customWidth="1"/>
    <col min="11" max="11" width="12.28515625" customWidth="1"/>
    <col min="12" max="12" width="11.140625" bestFit="1" customWidth="1"/>
    <col min="13" max="13" width="14.140625" bestFit="1" customWidth="1"/>
    <col min="14" max="14" width="13.140625" bestFit="1" customWidth="1"/>
    <col min="15" max="15" width="10.7109375" customWidth="1"/>
    <col min="16" max="16" width="12.5703125" customWidth="1"/>
    <col min="17" max="17" width="11.140625" bestFit="1" customWidth="1"/>
    <col min="18" max="18" width="10.85546875" bestFit="1" customWidth="1"/>
    <col min="19" max="19" width="11.140625" bestFit="1" customWidth="1"/>
    <col min="20" max="20" width="14.140625" bestFit="1" customWidth="1"/>
    <col min="21" max="21" width="13.140625" bestFit="1" customWidth="1"/>
  </cols>
  <sheetData>
    <row r="1" spans="2:7">
      <c r="G1" s="15"/>
    </row>
    <row r="2" spans="2:7">
      <c r="G2" s="15"/>
    </row>
    <row r="6" spans="2:7">
      <c r="B6" s="1" t="s">
        <v>18</v>
      </c>
      <c r="C6" s="1" t="s">
        <v>1</v>
      </c>
      <c r="F6" s="1" t="s">
        <v>19</v>
      </c>
      <c r="G6" s="1" t="s">
        <v>1</v>
      </c>
    </row>
    <row r="7" spans="2:7">
      <c r="B7" t="s">
        <v>15</v>
      </c>
      <c r="C7" s="4">
        <v>850</v>
      </c>
      <c r="F7" t="s">
        <v>20</v>
      </c>
      <c r="G7" s="4">
        <v>100</v>
      </c>
    </row>
    <row r="8" spans="2:7">
      <c r="B8" t="s">
        <v>16</v>
      </c>
      <c r="C8" s="4">
        <v>850</v>
      </c>
      <c r="F8" t="s">
        <v>21</v>
      </c>
      <c r="G8" s="4">
        <v>150</v>
      </c>
    </row>
    <row r="9" spans="2:7">
      <c r="B9" t="s">
        <v>4</v>
      </c>
      <c r="C9" s="4">
        <v>0</v>
      </c>
      <c r="F9" t="s">
        <v>22</v>
      </c>
      <c r="G9" s="4">
        <v>250</v>
      </c>
    </row>
    <row r="10" spans="2:7">
      <c r="B10" t="s">
        <v>5</v>
      </c>
      <c r="C10" s="4">
        <v>0</v>
      </c>
      <c r="G10" s="4"/>
    </row>
    <row r="11" spans="2:7">
      <c r="B11" t="s">
        <v>6</v>
      </c>
      <c r="C11" s="4">
        <v>0</v>
      </c>
      <c r="G11" s="4"/>
    </row>
    <row r="12" spans="2:7">
      <c r="C12" s="4"/>
      <c r="G12" s="4"/>
    </row>
    <row r="13" spans="2:7">
      <c r="B13" t="s">
        <v>17</v>
      </c>
      <c r="C13" s="4">
        <f>SUM(C7:C11)</f>
        <v>1700</v>
      </c>
      <c r="G13" s="4">
        <f>SUM(G7:G12)</f>
        <v>500</v>
      </c>
    </row>
    <row r="18" spans="2:21">
      <c r="C18" s="12"/>
    </row>
    <row r="19" spans="2:21">
      <c r="B19" s="1" t="s">
        <v>23</v>
      </c>
      <c r="C19" s="1" t="s">
        <v>1</v>
      </c>
      <c r="D19" s="1" t="s">
        <v>24</v>
      </c>
      <c r="E19" s="2" t="s">
        <v>25</v>
      </c>
      <c r="F19" s="2" t="s">
        <v>26</v>
      </c>
      <c r="G19" s="1" t="s">
        <v>27</v>
      </c>
      <c r="I19" s="1" t="s">
        <v>23</v>
      </c>
      <c r="J19" s="1" t="s">
        <v>1</v>
      </c>
      <c r="K19" s="1" t="s">
        <v>24</v>
      </c>
      <c r="L19" s="2" t="s">
        <v>25</v>
      </c>
      <c r="M19" s="2" t="s">
        <v>26</v>
      </c>
      <c r="N19" s="1" t="s">
        <v>27</v>
      </c>
      <c r="P19" s="1" t="s">
        <v>23</v>
      </c>
      <c r="Q19" s="1" t="s">
        <v>1</v>
      </c>
      <c r="R19" s="1" t="s">
        <v>24</v>
      </c>
      <c r="S19" s="2" t="s">
        <v>25</v>
      </c>
      <c r="T19" s="2" t="s">
        <v>26</v>
      </c>
      <c r="U19" s="1" t="s">
        <v>27</v>
      </c>
    </row>
    <row r="20" spans="2:21">
      <c r="B20" s="3" t="s">
        <v>28</v>
      </c>
      <c r="C20" s="5">
        <v>2400</v>
      </c>
      <c r="D20" t="s">
        <v>29</v>
      </c>
      <c r="E20" s="4">
        <v>50</v>
      </c>
      <c r="F20" s="4" t="s">
        <v>30</v>
      </c>
      <c r="G20" t="s">
        <v>31</v>
      </c>
      <c r="H20" s="16"/>
      <c r="I20" s="3" t="s">
        <v>28</v>
      </c>
      <c r="J20" s="5">
        <v>2400</v>
      </c>
      <c r="K20" t="s">
        <v>32</v>
      </c>
      <c r="L20" s="4">
        <v>80</v>
      </c>
      <c r="M20" s="4" t="s">
        <v>33</v>
      </c>
      <c r="N20" t="s">
        <v>31</v>
      </c>
      <c r="P20" s="3" t="s">
        <v>28</v>
      </c>
      <c r="Q20" s="5">
        <v>2400</v>
      </c>
      <c r="R20" t="s">
        <v>32</v>
      </c>
      <c r="S20" s="4">
        <v>80</v>
      </c>
      <c r="T20" s="4" t="s">
        <v>33</v>
      </c>
      <c r="U20" t="s">
        <v>31</v>
      </c>
    </row>
    <row r="21" spans="2:21">
      <c r="B21" t="s">
        <v>34</v>
      </c>
      <c r="C21" s="4">
        <v>850</v>
      </c>
      <c r="D21" t="s">
        <v>32</v>
      </c>
      <c r="E21" s="4">
        <v>80</v>
      </c>
      <c r="F21" s="4" t="s">
        <v>33</v>
      </c>
      <c r="G21" s="6" t="s">
        <v>35</v>
      </c>
      <c r="I21" t="s">
        <v>34</v>
      </c>
      <c r="J21" s="4">
        <v>850</v>
      </c>
      <c r="K21" t="s">
        <v>36</v>
      </c>
      <c r="L21" s="4">
        <v>80</v>
      </c>
      <c r="M21" s="6" t="s">
        <v>30</v>
      </c>
      <c r="N21" s="6" t="s">
        <v>35</v>
      </c>
      <c r="P21" t="s">
        <v>34</v>
      </c>
      <c r="Q21" s="4">
        <v>850</v>
      </c>
      <c r="R21" t="s">
        <v>36</v>
      </c>
      <c r="S21" s="4">
        <v>80</v>
      </c>
      <c r="T21" s="6" t="s">
        <v>30</v>
      </c>
      <c r="U21" s="6" t="s">
        <v>35</v>
      </c>
    </row>
    <row r="22" spans="2:21">
      <c r="B22" t="s">
        <v>37</v>
      </c>
      <c r="C22" s="4">
        <v>1000</v>
      </c>
      <c r="D22" t="s">
        <v>36</v>
      </c>
      <c r="E22" s="4">
        <v>80</v>
      </c>
      <c r="F22" s="4" t="s">
        <v>30</v>
      </c>
      <c r="G22" t="s">
        <v>35</v>
      </c>
      <c r="J22" s="4"/>
      <c r="K22" t="s">
        <v>38</v>
      </c>
      <c r="L22" s="4">
        <v>134</v>
      </c>
      <c r="M22" s="6" t="s">
        <v>30</v>
      </c>
      <c r="N22" t="s">
        <v>35</v>
      </c>
      <c r="Q22" s="4"/>
      <c r="R22" t="s">
        <v>38</v>
      </c>
      <c r="S22" s="4">
        <v>134</v>
      </c>
      <c r="T22" s="6" t="s">
        <v>30</v>
      </c>
      <c r="U22" t="s">
        <v>35</v>
      </c>
    </row>
    <row r="23" spans="2:21">
      <c r="C23" s="4"/>
      <c r="D23" t="s">
        <v>38</v>
      </c>
      <c r="E23" s="4">
        <v>134</v>
      </c>
      <c r="F23" s="4" t="s">
        <v>30</v>
      </c>
      <c r="G23" t="s">
        <v>35</v>
      </c>
      <c r="J23" s="4"/>
      <c r="K23" t="s">
        <v>39</v>
      </c>
      <c r="L23" s="4">
        <v>185</v>
      </c>
      <c r="M23" s="4" t="s">
        <v>33</v>
      </c>
      <c r="N23" t="s">
        <v>35</v>
      </c>
      <c r="Q23" s="4"/>
      <c r="R23" t="s">
        <v>39</v>
      </c>
      <c r="S23" s="4">
        <v>185</v>
      </c>
      <c r="T23" s="4" t="s">
        <v>33</v>
      </c>
      <c r="U23" t="s">
        <v>35</v>
      </c>
    </row>
    <row r="24" spans="2:21">
      <c r="C24" s="4"/>
      <c r="D24" t="s">
        <v>39</v>
      </c>
      <c r="E24" s="4">
        <v>165</v>
      </c>
      <c r="F24" s="4" t="s">
        <v>40</v>
      </c>
      <c r="G24" t="s">
        <v>35</v>
      </c>
      <c r="J24" s="4"/>
      <c r="K24" t="s">
        <v>41</v>
      </c>
      <c r="L24" s="4">
        <v>170</v>
      </c>
      <c r="M24" s="6" t="s">
        <v>42</v>
      </c>
      <c r="N24" t="s">
        <v>35</v>
      </c>
      <c r="Q24" s="4"/>
      <c r="R24" t="s">
        <v>41</v>
      </c>
      <c r="S24" s="4">
        <v>170</v>
      </c>
      <c r="T24" s="6" t="s">
        <v>42</v>
      </c>
      <c r="U24" t="s">
        <v>35</v>
      </c>
    </row>
    <row r="25" spans="2:21">
      <c r="C25" s="4"/>
      <c r="D25" t="s">
        <v>41</v>
      </c>
      <c r="E25" s="4">
        <v>170</v>
      </c>
      <c r="F25" s="6" t="s">
        <v>42</v>
      </c>
      <c r="G25" t="s">
        <v>35</v>
      </c>
      <c r="J25" s="4"/>
      <c r="K25" t="s">
        <v>43</v>
      </c>
      <c r="L25" s="4">
        <v>210</v>
      </c>
      <c r="M25" s="6" t="s">
        <v>42</v>
      </c>
      <c r="N25" t="s">
        <v>35</v>
      </c>
      <c r="Q25" s="4"/>
      <c r="R25" t="s">
        <v>43</v>
      </c>
      <c r="S25" s="4">
        <v>210</v>
      </c>
      <c r="T25" s="6" t="s">
        <v>42</v>
      </c>
      <c r="U25" t="s">
        <v>35</v>
      </c>
    </row>
    <row r="26" spans="2:21">
      <c r="C26" s="4"/>
      <c r="D26" t="s">
        <v>43</v>
      </c>
      <c r="E26" s="4">
        <v>210</v>
      </c>
      <c r="F26" s="6" t="s">
        <v>42</v>
      </c>
      <c r="G26" t="s">
        <v>35</v>
      </c>
      <c r="J26" s="4"/>
      <c r="K26" s="3" t="s">
        <v>44</v>
      </c>
      <c r="L26" s="5">
        <v>951</v>
      </c>
      <c r="M26" s="4" t="s">
        <v>33</v>
      </c>
      <c r="N26" t="s">
        <v>35</v>
      </c>
      <c r="Q26" s="4"/>
      <c r="R26" s="3" t="s">
        <v>44</v>
      </c>
      <c r="S26" s="5">
        <v>280</v>
      </c>
      <c r="T26" s="4" t="s">
        <v>33</v>
      </c>
      <c r="U26" t="s">
        <v>35</v>
      </c>
    </row>
    <row r="27" spans="2:21">
      <c r="C27" s="4"/>
      <c r="D27" s="3" t="s">
        <v>44</v>
      </c>
      <c r="E27" s="5">
        <v>1208</v>
      </c>
      <c r="F27" s="5" t="s">
        <v>33</v>
      </c>
      <c r="G27" s="3" t="s">
        <v>31</v>
      </c>
      <c r="J27" s="4"/>
      <c r="K27" t="s">
        <v>45</v>
      </c>
      <c r="L27" s="4">
        <v>350</v>
      </c>
      <c r="M27" s="4" t="s">
        <v>33</v>
      </c>
      <c r="N27" s="3" t="s">
        <v>31</v>
      </c>
      <c r="Q27" s="4"/>
      <c r="R27" t="s">
        <v>46</v>
      </c>
      <c r="S27" s="4">
        <v>580</v>
      </c>
      <c r="T27" s="4" t="s">
        <v>33</v>
      </c>
      <c r="U27" s="3" t="s">
        <v>31</v>
      </c>
    </row>
    <row r="28" spans="2:21">
      <c r="C28" s="4"/>
      <c r="D28" t="s">
        <v>45</v>
      </c>
      <c r="E28" s="4">
        <v>350</v>
      </c>
      <c r="F28" s="5" t="s">
        <v>33</v>
      </c>
      <c r="G28" t="s">
        <v>31</v>
      </c>
      <c r="J28" s="4"/>
      <c r="K28" t="s">
        <v>46</v>
      </c>
      <c r="L28" s="4">
        <v>580</v>
      </c>
      <c r="M28" s="6" t="s">
        <v>30</v>
      </c>
      <c r="N28" t="s">
        <v>31</v>
      </c>
      <c r="Q28" s="4"/>
      <c r="R28" t="s">
        <v>47</v>
      </c>
      <c r="S28" s="4">
        <v>110</v>
      </c>
      <c r="T28" s="6" t="s">
        <v>30</v>
      </c>
      <c r="U28" t="s">
        <v>31</v>
      </c>
    </row>
    <row r="29" spans="2:21">
      <c r="C29" s="4"/>
      <c r="D29" t="s">
        <v>46</v>
      </c>
      <c r="E29" s="4">
        <v>580</v>
      </c>
      <c r="F29" s="6" t="s">
        <v>30</v>
      </c>
      <c r="G29" t="s">
        <v>35</v>
      </c>
      <c r="J29" s="4"/>
      <c r="K29" t="s">
        <v>47</v>
      </c>
      <c r="L29" s="4">
        <v>110</v>
      </c>
      <c r="M29" s="4" t="s">
        <v>33</v>
      </c>
      <c r="N29" t="s">
        <v>35</v>
      </c>
      <c r="Q29" s="4"/>
      <c r="R29" t="s">
        <v>48</v>
      </c>
      <c r="S29" s="4">
        <v>110</v>
      </c>
      <c r="T29" s="4" t="s">
        <v>33</v>
      </c>
      <c r="U29" t="s">
        <v>35</v>
      </c>
    </row>
    <row r="30" spans="2:21">
      <c r="C30" s="4"/>
      <c r="D30" t="s">
        <v>47</v>
      </c>
      <c r="E30" s="4">
        <v>110</v>
      </c>
      <c r="F30" s="5" t="s">
        <v>33</v>
      </c>
      <c r="J30" s="4"/>
      <c r="K30" t="s">
        <v>48</v>
      </c>
      <c r="L30" s="4">
        <v>110</v>
      </c>
      <c r="M30" s="5"/>
      <c r="Q30" s="4"/>
      <c r="R30" t="s">
        <v>49</v>
      </c>
      <c r="S30" s="4">
        <v>110</v>
      </c>
      <c r="T30" s="5"/>
    </row>
    <row r="31" spans="2:21">
      <c r="B31" t="s">
        <v>50</v>
      </c>
      <c r="C31" s="4">
        <v>0</v>
      </c>
      <c r="E31" s="4"/>
      <c r="F31" s="4"/>
      <c r="J31" s="4"/>
      <c r="K31" t="s">
        <v>49</v>
      </c>
      <c r="L31" s="4">
        <v>110</v>
      </c>
      <c r="M31" s="4"/>
      <c r="P31" t="s">
        <v>50</v>
      </c>
      <c r="Q31" s="4">
        <v>0</v>
      </c>
      <c r="S31" s="4"/>
      <c r="T31" s="4"/>
    </row>
    <row r="32" spans="2:21">
      <c r="B32" s="7" t="s">
        <v>17</v>
      </c>
      <c r="C32" s="4">
        <f>SUM(C20,C21,C22,C23,C24,C25,C26,C27,C28,C31)</f>
        <v>4250</v>
      </c>
      <c r="E32" s="4">
        <f>SUM(E20:E31,)</f>
        <v>3137</v>
      </c>
      <c r="F32" s="4"/>
      <c r="G32" s="4">
        <f>C32-E32</f>
        <v>1113</v>
      </c>
      <c r="I32" t="s">
        <v>50</v>
      </c>
      <c r="J32" s="4">
        <v>110</v>
      </c>
      <c r="K32" t="s">
        <v>51</v>
      </c>
      <c r="L32" s="4">
        <v>80</v>
      </c>
      <c r="M32" s="4"/>
      <c r="P32" s="7" t="s">
        <v>17</v>
      </c>
      <c r="Q32" s="4">
        <f>SUM(Q20,Q21,Q22,Q23,Q24,Q25,Q26,Q27,Q28,Q31)</f>
        <v>3250</v>
      </c>
      <c r="S32" s="4">
        <f>SUM(S20:S30,)</f>
        <v>2049</v>
      </c>
      <c r="T32" s="4"/>
      <c r="U32" s="4">
        <f>Q32-S32</f>
        <v>1201</v>
      </c>
    </row>
    <row r="33" spans="9:14">
      <c r="I33" s="7" t="s">
        <v>17</v>
      </c>
      <c r="J33" s="4">
        <f>SUM(J20,J21,J22,J23,J24,J25,J26,J27,J28,J32)</f>
        <v>3360</v>
      </c>
      <c r="L33" s="4">
        <f>SUM(L20:L32,)</f>
        <v>3150</v>
      </c>
      <c r="M33" s="4"/>
      <c r="N33" s="4">
        <f>J33-L33</f>
        <v>210</v>
      </c>
    </row>
    <row r="38" spans="9:14" ht="16.5" customHeight="1"/>
    <row r="39" spans="9:14" ht="17.25" customHeight="1"/>
    <row r="45" spans="9:14">
      <c r="N45" s="16"/>
    </row>
    <row r="82" spans="4:4">
      <c r="D82" s="16"/>
    </row>
  </sheetData>
  <dataValidations count="4">
    <dataValidation type="list" allowBlank="1" showInputMessage="1" showErrorMessage="1" sqref="G19:G32 U19:U32 N19:N33" xr:uid="{EFB89DE2-1CAE-4F52-B8EB-3480BA6C5E7D}">
      <formula1>"Mensalmente,Fim de ano,Uma vez"</formula1>
    </dataValidation>
    <dataValidation allowBlank="1" showInputMessage="1" showErrorMessage="1" sqref="C18 B20:B28 B31:B32 C20:C31 F20:F30 I20:I28 M20:M30 P20:P28 P31:P32 Q20:Q31 T20:T30 I32:J33 J20:J30" xr:uid="{3F811B1B-E40C-4668-B7E7-C31E72F93486}"/>
    <dataValidation type="list" allowBlank="1" showInputMessage="1" showErrorMessage="1" sqref="B19 I19 P19" xr:uid="{5D07C3B7-C96F-4FBA-8E08-81F52A7B5E5E}">
      <formula1>"Salario;Alguel;Decimo;Saldo"</formula1>
    </dataValidation>
    <dataValidation type="list" allowBlank="1" showInputMessage="1" showErrorMessage="1" sqref="C19 J19 Q19" xr:uid="{0B09697D-B5B1-4131-907E-7224D80E7ED9}">
      <formula1>#REF!</formula1>
    </dataValidation>
  </dataValidation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A719-7C07-4509-89A9-4D5CB35571AB}">
  <dimension ref="B8:W62"/>
  <sheetViews>
    <sheetView workbookViewId="0">
      <selection activeCell="G6" sqref="G6"/>
    </sheetView>
  </sheetViews>
  <sheetFormatPr defaultRowHeight="15"/>
  <cols>
    <col min="2" max="2" width="13.7109375" customWidth="1"/>
    <col min="3" max="3" width="13.5703125" customWidth="1"/>
    <col min="4" max="4" width="15.5703125" customWidth="1"/>
    <col min="5" max="5" width="12.28515625" customWidth="1"/>
    <col min="6" max="6" width="14.140625" customWidth="1"/>
    <col min="7" max="7" width="24.5703125" customWidth="1"/>
    <col min="10" max="10" width="13.5703125" customWidth="1"/>
    <col min="11" max="11" width="12.5703125" customWidth="1"/>
    <col min="12" max="12" width="16.7109375" customWidth="1"/>
    <col min="13" max="13" width="12.28515625" customWidth="1"/>
    <col min="14" max="14" width="16.7109375" customWidth="1"/>
    <col min="15" max="15" width="14.7109375" customWidth="1"/>
    <col min="18" max="23" width="17.140625" customWidth="1"/>
  </cols>
  <sheetData>
    <row r="8" spans="2:23">
      <c r="B8" s="1" t="s">
        <v>23</v>
      </c>
      <c r="C8" s="8" t="s">
        <v>1</v>
      </c>
      <c r="D8" s="1" t="s">
        <v>24</v>
      </c>
      <c r="E8" s="2" t="s">
        <v>25</v>
      </c>
      <c r="F8" s="2" t="s">
        <v>26</v>
      </c>
      <c r="G8" s="1" t="s">
        <v>27</v>
      </c>
      <c r="J8" s="1" t="s">
        <v>23</v>
      </c>
      <c r="K8" s="8" t="s">
        <v>1</v>
      </c>
      <c r="L8" s="1" t="s">
        <v>24</v>
      </c>
      <c r="M8" s="2" t="s">
        <v>25</v>
      </c>
      <c r="N8" s="2" t="s">
        <v>26</v>
      </c>
      <c r="O8" s="1" t="s">
        <v>27</v>
      </c>
      <c r="R8" s="1" t="s">
        <v>23</v>
      </c>
      <c r="S8" s="8" t="s">
        <v>1</v>
      </c>
      <c r="T8" s="1" t="s">
        <v>24</v>
      </c>
      <c r="U8" s="2" t="s">
        <v>25</v>
      </c>
      <c r="V8" s="2" t="s">
        <v>26</v>
      </c>
      <c r="W8" s="1" t="s">
        <v>27</v>
      </c>
    </row>
    <row r="9" spans="2:23">
      <c r="B9" s="3" t="s">
        <v>52</v>
      </c>
      <c r="C9" s="9">
        <v>1759</v>
      </c>
      <c r="D9" t="s">
        <v>53</v>
      </c>
      <c r="E9" s="4">
        <v>35</v>
      </c>
      <c r="F9" s="4"/>
      <c r="J9" s="3" t="s">
        <v>52</v>
      </c>
      <c r="K9" s="9">
        <v>900</v>
      </c>
      <c r="L9" t="s">
        <v>53</v>
      </c>
      <c r="M9" s="4">
        <v>35</v>
      </c>
      <c r="N9" s="4"/>
      <c r="O9" t="s">
        <v>35</v>
      </c>
      <c r="R9" s="3" t="s">
        <v>52</v>
      </c>
      <c r="S9" s="9">
        <v>1759</v>
      </c>
      <c r="T9" t="s">
        <v>53</v>
      </c>
      <c r="U9" s="4">
        <v>35</v>
      </c>
      <c r="V9" s="4"/>
      <c r="W9" t="s">
        <v>35</v>
      </c>
    </row>
    <row r="10" spans="2:23">
      <c r="B10" t="s">
        <v>54</v>
      </c>
      <c r="C10" s="10">
        <v>0</v>
      </c>
      <c r="D10" s="21" t="s">
        <v>45</v>
      </c>
      <c r="E10" s="22">
        <v>200</v>
      </c>
      <c r="F10" s="4"/>
      <c r="J10" t="s">
        <v>54</v>
      </c>
      <c r="K10" s="10">
        <v>0</v>
      </c>
      <c r="L10" s="21" t="s">
        <v>45</v>
      </c>
      <c r="M10" s="22">
        <v>100</v>
      </c>
      <c r="N10" s="4"/>
      <c r="O10" t="s">
        <v>35</v>
      </c>
      <c r="R10" t="s">
        <v>54</v>
      </c>
      <c r="S10" s="10">
        <v>0</v>
      </c>
      <c r="T10" s="21" t="s">
        <v>45</v>
      </c>
      <c r="U10" s="22">
        <v>100</v>
      </c>
      <c r="V10" s="4"/>
      <c r="W10" t="s">
        <v>35</v>
      </c>
    </row>
    <row r="11" spans="2:23">
      <c r="B11" t="s">
        <v>55</v>
      </c>
      <c r="C11" s="10">
        <v>0</v>
      </c>
      <c r="D11" t="s">
        <v>56</v>
      </c>
      <c r="E11" s="4">
        <v>6</v>
      </c>
      <c r="F11" s="5"/>
      <c r="G11" s="3"/>
      <c r="J11" t="s">
        <v>55</v>
      </c>
      <c r="K11" s="10">
        <v>0</v>
      </c>
      <c r="L11" t="s">
        <v>56</v>
      </c>
      <c r="M11" s="4">
        <v>6</v>
      </c>
      <c r="N11" s="5"/>
      <c r="O11" s="3" t="s">
        <v>35</v>
      </c>
      <c r="R11" t="s">
        <v>55</v>
      </c>
      <c r="S11" s="10">
        <v>0</v>
      </c>
      <c r="T11" t="s">
        <v>56</v>
      </c>
      <c r="U11" s="4">
        <v>6</v>
      </c>
      <c r="V11" s="5"/>
      <c r="W11" s="3" t="s">
        <v>35</v>
      </c>
    </row>
    <row r="12" spans="2:23">
      <c r="B12" t="s">
        <v>37</v>
      </c>
      <c r="C12" s="10">
        <v>805</v>
      </c>
      <c r="D12" t="s">
        <v>44</v>
      </c>
      <c r="E12" s="4">
        <v>1140</v>
      </c>
      <c r="F12" s="4"/>
      <c r="K12" s="10"/>
      <c r="L12" t="s">
        <v>44</v>
      </c>
      <c r="M12" s="4">
        <v>737</v>
      </c>
      <c r="N12" s="4"/>
      <c r="O12" t="s">
        <v>35</v>
      </c>
      <c r="R12" t="s">
        <v>37</v>
      </c>
      <c r="S12" s="10">
        <v>0</v>
      </c>
      <c r="T12" t="s">
        <v>44</v>
      </c>
      <c r="U12" s="4">
        <v>422</v>
      </c>
      <c r="V12" s="4"/>
      <c r="W12" t="s">
        <v>35</v>
      </c>
    </row>
    <row r="13" spans="2:23">
      <c r="B13" t="s">
        <v>57</v>
      </c>
      <c r="C13" s="10">
        <v>1800</v>
      </c>
      <c r="D13" t="s">
        <v>58</v>
      </c>
      <c r="E13" s="4">
        <v>25</v>
      </c>
      <c r="F13" s="4"/>
      <c r="K13" s="10"/>
      <c r="L13" t="s">
        <v>58</v>
      </c>
      <c r="M13" s="4">
        <v>25</v>
      </c>
      <c r="N13" s="4"/>
      <c r="O13" t="s">
        <v>31</v>
      </c>
      <c r="S13" s="10"/>
      <c r="T13" t="s">
        <v>58</v>
      </c>
      <c r="U13" s="4">
        <v>25</v>
      </c>
      <c r="V13" s="4"/>
      <c r="W13" t="s">
        <v>31</v>
      </c>
    </row>
    <row r="14" spans="2:23">
      <c r="B14" t="s">
        <v>59</v>
      </c>
      <c r="C14" s="10">
        <v>1800</v>
      </c>
      <c r="D14" t="s">
        <v>36</v>
      </c>
      <c r="E14" s="4">
        <v>50</v>
      </c>
      <c r="F14" s="4"/>
      <c r="K14" s="10"/>
      <c r="L14" t="s">
        <v>36</v>
      </c>
      <c r="M14" s="4">
        <v>50</v>
      </c>
      <c r="N14" s="4"/>
      <c r="O14" t="s">
        <v>35</v>
      </c>
      <c r="S14" s="10"/>
      <c r="T14" t="s">
        <v>36</v>
      </c>
      <c r="U14" s="4">
        <v>50</v>
      </c>
      <c r="V14" s="4"/>
      <c r="W14" t="s">
        <v>35</v>
      </c>
    </row>
    <row r="15" spans="2:23">
      <c r="C15" s="10"/>
      <c r="D15" t="s">
        <v>32</v>
      </c>
      <c r="E15" s="4">
        <v>60</v>
      </c>
      <c r="F15" s="4"/>
      <c r="K15" s="10"/>
      <c r="L15" t="s">
        <v>32</v>
      </c>
      <c r="M15" s="4">
        <v>60</v>
      </c>
      <c r="N15" s="4"/>
      <c r="O15" t="s">
        <v>31</v>
      </c>
      <c r="S15" s="10"/>
      <c r="T15" t="s">
        <v>32</v>
      </c>
      <c r="U15" s="4">
        <v>60</v>
      </c>
      <c r="V15" s="4"/>
      <c r="W15" t="s">
        <v>31</v>
      </c>
    </row>
    <row r="16" spans="2:23">
      <c r="C16" s="10"/>
      <c r="D16" t="s">
        <v>60</v>
      </c>
      <c r="E16" s="4">
        <v>40</v>
      </c>
      <c r="F16" s="4"/>
      <c r="I16" s="10"/>
      <c r="K16" s="10"/>
      <c r="L16" t="s">
        <v>51</v>
      </c>
      <c r="M16" s="4">
        <v>140</v>
      </c>
      <c r="N16" s="4"/>
      <c r="O16" t="s">
        <v>35</v>
      </c>
      <c r="S16" s="10"/>
      <c r="T16" t="s">
        <v>51</v>
      </c>
      <c r="U16" s="4">
        <v>140</v>
      </c>
      <c r="V16" s="4"/>
      <c r="W16" t="s">
        <v>35</v>
      </c>
    </row>
    <row r="17" spans="2:23">
      <c r="C17" s="10"/>
      <c r="E17" s="4"/>
      <c r="F17" s="4"/>
      <c r="K17" s="10"/>
      <c r="L17" t="s">
        <v>61</v>
      </c>
      <c r="M17" s="4">
        <v>600</v>
      </c>
      <c r="N17" s="4"/>
      <c r="O17" t="s">
        <v>35</v>
      </c>
      <c r="S17" s="10"/>
      <c r="U17" s="4"/>
      <c r="V17" s="4"/>
    </row>
    <row r="18" spans="2:23">
      <c r="C18" s="10"/>
      <c r="E18" s="4"/>
      <c r="F18" s="4"/>
      <c r="K18" s="10"/>
      <c r="M18" s="4"/>
      <c r="N18" s="4"/>
      <c r="S18" s="10"/>
      <c r="U18" s="4"/>
      <c r="V18" s="4"/>
    </row>
    <row r="19" spans="2:23">
      <c r="C19" s="10"/>
      <c r="E19" s="4"/>
      <c r="F19" s="4"/>
      <c r="G19" s="6"/>
      <c r="K19" s="10"/>
      <c r="M19" s="4"/>
      <c r="N19" s="4"/>
      <c r="O19" s="6"/>
      <c r="S19" s="10"/>
      <c r="U19" s="4"/>
      <c r="V19" s="4"/>
      <c r="W19" s="6"/>
    </row>
    <row r="20" spans="2:23">
      <c r="C20" s="10"/>
      <c r="E20" s="4"/>
      <c r="F20" s="4"/>
      <c r="K20" s="10"/>
      <c r="M20" s="4"/>
      <c r="N20" s="4"/>
      <c r="S20" s="10"/>
      <c r="U20" s="4"/>
      <c r="V20" s="4"/>
    </row>
    <row r="21" spans="2:23">
      <c r="B21" t="s">
        <v>50</v>
      </c>
      <c r="C21" s="10">
        <v>914</v>
      </c>
      <c r="E21" s="4"/>
      <c r="F21" s="4"/>
      <c r="J21" t="s">
        <v>50</v>
      </c>
      <c r="K21" s="10">
        <v>853</v>
      </c>
      <c r="M21" s="4"/>
      <c r="N21" s="4"/>
      <c r="R21" t="s">
        <v>50</v>
      </c>
      <c r="S21" s="10">
        <v>0</v>
      </c>
      <c r="U21" s="4"/>
      <c r="V21" s="4"/>
    </row>
    <row r="22" spans="2:23">
      <c r="B22" t="s">
        <v>17</v>
      </c>
      <c r="C22" s="11">
        <f>SUM(C9:C21)</f>
        <v>7078</v>
      </c>
      <c r="E22" s="4">
        <f>SUM(E9:E21)</f>
        <v>1556</v>
      </c>
      <c r="F22" s="4"/>
      <c r="G22" s="4">
        <f>C22-E22</f>
        <v>5522</v>
      </c>
      <c r="J22" t="s">
        <v>17</v>
      </c>
      <c r="K22" s="11">
        <f>SUM(K9:K21)</f>
        <v>1753</v>
      </c>
      <c r="M22" s="4">
        <f>SUM(M9:M21)</f>
        <v>1753</v>
      </c>
      <c r="N22" s="4"/>
      <c r="O22" s="4">
        <f>K22-M22</f>
        <v>0</v>
      </c>
      <c r="R22" t="s">
        <v>17</v>
      </c>
      <c r="S22" s="11">
        <f>SUM(S9:S21)</f>
        <v>1759</v>
      </c>
      <c r="U22" s="4">
        <f>SUM(U9:U21)</f>
        <v>838</v>
      </c>
      <c r="V22" s="4"/>
      <c r="W22" s="4">
        <f>S22-U22</f>
        <v>921</v>
      </c>
    </row>
    <row r="27" spans="2:23">
      <c r="B27" s="1" t="s">
        <v>23</v>
      </c>
      <c r="C27" s="8" t="s">
        <v>1</v>
      </c>
      <c r="D27" s="1" t="s">
        <v>24</v>
      </c>
      <c r="E27" s="2" t="s">
        <v>25</v>
      </c>
      <c r="F27" s="2" t="s">
        <v>26</v>
      </c>
      <c r="G27" s="1" t="s">
        <v>27</v>
      </c>
      <c r="J27" s="1" t="s">
        <v>23</v>
      </c>
      <c r="K27" s="8" t="s">
        <v>1</v>
      </c>
      <c r="L27" s="1" t="s">
        <v>24</v>
      </c>
      <c r="M27" s="2" t="s">
        <v>25</v>
      </c>
      <c r="N27" s="2" t="s">
        <v>26</v>
      </c>
      <c r="O27" s="1" t="s">
        <v>27</v>
      </c>
      <c r="R27" s="18"/>
      <c r="S27" s="19"/>
      <c r="T27" s="18"/>
      <c r="U27" s="20"/>
      <c r="V27" s="20"/>
      <c r="W27" s="18"/>
    </row>
    <row r="28" spans="2:23">
      <c r="B28" s="3" t="s">
        <v>52</v>
      </c>
      <c r="C28" s="9">
        <v>1759</v>
      </c>
      <c r="D28" t="s">
        <v>53</v>
      </c>
      <c r="E28" s="4">
        <v>35</v>
      </c>
      <c r="F28" s="4"/>
      <c r="G28" t="s">
        <v>35</v>
      </c>
      <c r="J28" s="3" t="s">
        <v>52</v>
      </c>
      <c r="K28" s="9">
        <v>1759</v>
      </c>
      <c r="L28" t="s">
        <v>53</v>
      </c>
      <c r="M28" s="4">
        <v>35</v>
      </c>
      <c r="N28" s="4"/>
      <c r="O28" t="s">
        <v>35</v>
      </c>
      <c r="R28" s="3"/>
      <c r="S28" s="9"/>
      <c r="U28" s="4"/>
      <c r="V28" s="4"/>
    </row>
    <row r="29" spans="2:23">
      <c r="B29" t="s">
        <v>54</v>
      </c>
      <c r="C29" s="10">
        <v>0</v>
      </c>
      <c r="D29" s="21" t="s">
        <v>45</v>
      </c>
      <c r="E29" s="22">
        <v>100</v>
      </c>
      <c r="F29" s="4"/>
      <c r="G29" t="s">
        <v>35</v>
      </c>
      <c r="J29" t="s">
        <v>54</v>
      </c>
      <c r="K29" s="10">
        <v>0</v>
      </c>
      <c r="L29" t="s">
        <v>56</v>
      </c>
      <c r="M29" s="4">
        <v>6</v>
      </c>
      <c r="N29" s="4"/>
      <c r="O29" t="s">
        <v>35</v>
      </c>
      <c r="S29" s="10"/>
      <c r="U29" s="4"/>
      <c r="V29" s="4"/>
    </row>
    <row r="30" spans="2:23">
      <c r="B30" t="s">
        <v>55</v>
      </c>
      <c r="C30" s="10">
        <v>0</v>
      </c>
      <c r="D30" t="s">
        <v>56</v>
      </c>
      <c r="E30" s="4">
        <v>6</v>
      </c>
      <c r="F30" s="5"/>
      <c r="G30" s="3" t="s">
        <v>35</v>
      </c>
      <c r="J30" t="s">
        <v>55</v>
      </c>
      <c r="K30" s="10">
        <v>0</v>
      </c>
      <c r="L30" t="s">
        <v>44</v>
      </c>
      <c r="M30" s="4">
        <v>282</v>
      </c>
      <c r="N30" s="5"/>
      <c r="O30" s="3" t="s">
        <v>35</v>
      </c>
      <c r="S30" s="10"/>
      <c r="T30" s="3"/>
      <c r="U30" s="5"/>
      <c r="V30" s="5"/>
      <c r="W30" s="3"/>
    </row>
    <row r="31" spans="2:23">
      <c r="B31" t="s">
        <v>37</v>
      </c>
      <c r="C31" s="10">
        <v>0</v>
      </c>
      <c r="D31" t="s">
        <v>44</v>
      </c>
      <c r="E31" s="4">
        <v>282</v>
      </c>
      <c r="F31" s="4"/>
      <c r="G31" t="s">
        <v>35</v>
      </c>
      <c r="J31" t="s">
        <v>37</v>
      </c>
      <c r="K31" s="10">
        <v>0</v>
      </c>
      <c r="L31" t="s">
        <v>58</v>
      </c>
      <c r="M31" s="4">
        <v>25</v>
      </c>
      <c r="N31" s="4"/>
      <c r="O31" t="s">
        <v>35</v>
      </c>
      <c r="S31" s="10"/>
      <c r="U31" s="4"/>
      <c r="V31" s="4"/>
    </row>
    <row r="32" spans="2:23">
      <c r="C32" s="10"/>
      <c r="D32" t="s">
        <v>58</v>
      </c>
      <c r="E32" s="4">
        <v>25</v>
      </c>
      <c r="F32" s="4"/>
      <c r="G32" t="s">
        <v>31</v>
      </c>
      <c r="K32" s="10"/>
      <c r="L32" t="s">
        <v>36</v>
      </c>
      <c r="M32" s="4">
        <v>50</v>
      </c>
      <c r="N32" s="4"/>
      <c r="O32" t="s">
        <v>31</v>
      </c>
      <c r="S32" s="10"/>
      <c r="U32" s="4"/>
      <c r="V32" s="4"/>
    </row>
    <row r="33" spans="2:23">
      <c r="C33" s="10"/>
      <c r="D33" t="s">
        <v>36</v>
      </c>
      <c r="E33" s="4">
        <v>50</v>
      </c>
      <c r="F33" s="4"/>
      <c r="G33" t="s">
        <v>35</v>
      </c>
      <c r="K33" s="10"/>
      <c r="L33" t="s">
        <v>32</v>
      </c>
      <c r="M33" s="4">
        <v>60</v>
      </c>
      <c r="N33" s="4"/>
      <c r="O33" t="s">
        <v>35</v>
      </c>
      <c r="S33" s="10"/>
      <c r="U33" s="4"/>
      <c r="V33" s="4"/>
    </row>
    <row r="34" spans="2:23">
      <c r="C34" s="10"/>
      <c r="D34" t="s">
        <v>32</v>
      </c>
      <c r="E34" s="4">
        <v>60</v>
      </c>
      <c r="F34" s="4"/>
      <c r="G34" t="s">
        <v>31</v>
      </c>
      <c r="K34" s="10"/>
      <c r="L34" t="s">
        <v>51</v>
      </c>
      <c r="M34" s="4">
        <v>140</v>
      </c>
      <c r="N34" s="4"/>
      <c r="O34" t="s">
        <v>31</v>
      </c>
      <c r="S34" s="10"/>
      <c r="U34" s="4"/>
      <c r="V34" s="4"/>
    </row>
    <row r="35" spans="2:23">
      <c r="C35" s="10"/>
      <c r="D35" t="s">
        <v>51</v>
      </c>
      <c r="E35" s="4">
        <v>140</v>
      </c>
      <c r="F35" s="4"/>
      <c r="G35" t="s">
        <v>35</v>
      </c>
      <c r="K35" s="10"/>
      <c r="M35" s="4"/>
      <c r="N35" s="4"/>
      <c r="O35" t="s">
        <v>35</v>
      </c>
      <c r="S35" s="10"/>
      <c r="U35" s="4"/>
      <c r="V35" s="4"/>
    </row>
    <row r="36" spans="2:23">
      <c r="C36" s="10"/>
      <c r="E36" s="4"/>
      <c r="F36" s="4"/>
      <c r="K36" s="10"/>
      <c r="M36" s="4"/>
      <c r="N36" s="4"/>
      <c r="O36" t="s">
        <v>35</v>
      </c>
      <c r="S36" s="10"/>
      <c r="U36" s="4"/>
      <c r="V36" s="4"/>
    </row>
    <row r="37" spans="2:23">
      <c r="C37" s="10"/>
      <c r="E37" s="4"/>
      <c r="F37" s="4"/>
      <c r="K37" s="10"/>
      <c r="M37" s="4"/>
      <c r="N37" s="4"/>
      <c r="O37" t="s">
        <v>31</v>
      </c>
      <c r="S37" s="10"/>
      <c r="U37" s="4"/>
      <c r="V37" s="4"/>
    </row>
    <row r="38" spans="2:23">
      <c r="C38" s="10"/>
      <c r="E38" s="4"/>
      <c r="F38" s="4"/>
      <c r="G38" s="6"/>
      <c r="K38" s="10"/>
      <c r="M38" s="4"/>
      <c r="N38" s="4"/>
      <c r="O38" s="6" t="s">
        <v>35</v>
      </c>
      <c r="S38" s="10"/>
      <c r="U38" s="4"/>
      <c r="V38" s="4"/>
      <c r="W38" s="6"/>
    </row>
    <row r="39" spans="2:23">
      <c r="C39" s="10"/>
      <c r="E39" s="4"/>
      <c r="F39" s="4"/>
      <c r="K39" s="10"/>
      <c r="M39" s="4"/>
      <c r="N39" s="4"/>
      <c r="O39" t="s">
        <v>35</v>
      </c>
      <c r="S39" s="10"/>
      <c r="U39" s="4"/>
      <c r="V39" s="4"/>
    </row>
    <row r="40" spans="2:23">
      <c r="B40" t="s">
        <v>50</v>
      </c>
      <c r="C40" s="10">
        <v>0</v>
      </c>
      <c r="E40" s="4"/>
      <c r="F40" s="4"/>
      <c r="J40" t="s">
        <v>50</v>
      </c>
      <c r="K40" s="10">
        <v>0</v>
      </c>
      <c r="M40" s="4"/>
      <c r="N40" s="4"/>
      <c r="S40" s="10"/>
      <c r="U40" s="4"/>
      <c r="V40" s="4"/>
    </row>
    <row r="41" spans="2:23">
      <c r="B41" t="s">
        <v>17</v>
      </c>
      <c r="C41" s="11">
        <f>SUM(C28:C40)</f>
        <v>1759</v>
      </c>
      <c r="E41" s="4">
        <f>SUM(E28:E40)</f>
        <v>698</v>
      </c>
      <c r="F41" s="4"/>
      <c r="G41" s="4">
        <f>C41-E41</f>
        <v>1061</v>
      </c>
      <c r="J41" t="s">
        <v>17</v>
      </c>
      <c r="K41" s="11">
        <f>SUM(K28:K40)</f>
        <v>1759</v>
      </c>
      <c r="M41" s="4">
        <f>SUM(M28:M40)</f>
        <v>598</v>
      </c>
      <c r="N41" s="4"/>
      <c r="O41" s="4">
        <f>K41-M41</f>
        <v>1161</v>
      </c>
      <c r="S41" s="11"/>
      <c r="U41" s="4"/>
      <c r="V41" s="4"/>
      <c r="W41" s="4"/>
    </row>
    <row r="46" spans="2:23">
      <c r="C46" t="s">
        <v>62</v>
      </c>
      <c r="D46" t="s">
        <v>1</v>
      </c>
      <c r="F46" s="1" t="s">
        <v>18</v>
      </c>
      <c r="G46" s="1" t="s">
        <v>1</v>
      </c>
    </row>
    <row r="47" spans="2:23">
      <c r="C47" t="s">
        <v>16</v>
      </c>
      <c r="D47" s="4">
        <v>392</v>
      </c>
      <c r="F47" t="s">
        <v>16</v>
      </c>
      <c r="G47" s="4">
        <v>5522</v>
      </c>
    </row>
    <row r="48" spans="2:23">
      <c r="C48" t="s">
        <v>4</v>
      </c>
      <c r="D48" s="4">
        <v>1000</v>
      </c>
      <c r="F48" t="s">
        <v>4</v>
      </c>
      <c r="G48" s="4">
        <v>-853</v>
      </c>
    </row>
    <row r="49" spans="3:7">
      <c r="C49" t="s">
        <v>5</v>
      </c>
      <c r="D49" s="4">
        <v>1600</v>
      </c>
      <c r="F49" t="s">
        <v>5</v>
      </c>
      <c r="G49" s="4">
        <v>700</v>
      </c>
    </row>
    <row r="50" spans="3:7">
      <c r="C50" t="s">
        <v>6</v>
      </c>
      <c r="D50" s="4"/>
      <c r="F50" t="s">
        <v>6</v>
      </c>
      <c r="G50" s="4">
        <v>900</v>
      </c>
    </row>
    <row r="51" spans="3:7">
      <c r="C51" t="s">
        <v>7</v>
      </c>
      <c r="D51" s="4"/>
      <c r="F51" t="s">
        <v>7</v>
      </c>
      <c r="G51" s="4">
        <v>900</v>
      </c>
    </row>
    <row r="52" spans="3:7">
      <c r="C52" s="13" t="s">
        <v>17</v>
      </c>
      <c r="D52" s="14">
        <f>SUM(D47:D50)</f>
        <v>2992</v>
      </c>
      <c r="G52" s="4"/>
    </row>
    <row r="53" spans="3:7">
      <c r="F53" t="s">
        <v>17</v>
      </c>
      <c r="G53" s="4">
        <f>SUM(G47:G52)</f>
        <v>7169</v>
      </c>
    </row>
    <row r="55" spans="3:7">
      <c r="F55" s="1" t="s">
        <v>18</v>
      </c>
      <c r="G55" s="1" t="s">
        <v>1</v>
      </c>
    </row>
    <row r="56" spans="3:7">
      <c r="F56" t="s">
        <v>16</v>
      </c>
      <c r="G56" s="4">
        <v>260</v>
      </c>
    </row>
    <row r="57" spans="3:7">
      <c r="F57" t="s">
        <v>4</v>
      </c>
      <c r="G57" s="4">
        <v>500</v>
      </c>
    </row>
    <row r="58" spans="3:7">
      <c r="F58" t="s">
        <v>5</v>
      </c>
      <c r="G58" s="4">
        <v>700</v>
      </c>
    </row>
    <row r="59" spans="3:7">
      <c r="F59" t="s">
        <v>6</v>
      </c>
      <c r="G59" s="4">
        <v>900</v>
      </c>
    </row>
    <row r="60" spans="3:7">
      <c r="F60" t="s">
        <v>7</v>
      </c>
      <c r="G60" s="4">
        <v>900</v>
      </c>
    </row>
    <row r="61" spans="3:7">
      <c r="G61" s="4"/>
    </row>
    <row r="62" spans="3:7">
      <c r="F62" t="s">
        <v>17</v>
      </c>
      <c r="G62" s="4">
        <f>SUM(G56:G61)</f>
        <v>3260</v>
      </c>
    </row>
  </sheetData>
  <dataValidations count="2">
    <dataValidation allowBlank="1" showInputMessage="1" showErrorMessage="1" sqref="L14:L15 K12:L12 D14:D15 L17:L21 I16 J15:J17 R8:T11 S12:T12 J8:L11 T17:T21 R15:R17 B27:C30 C31 T14:T15 D36:D40 B34:B36 J27:K30 K31 D27:D34 L36:L40 J34:J36 R32:T32 T33 R27:T30 S34:T38 S31:T31 T39:T40 R34:R36 D21 C19 C18:D18 B15:C17 C12:D12 B13:D13 B8:D11 K15:K19 J13:L13 S15:S19 R13:T13 C34:C38 B32:C32 K34:K38 J32:K32 L27:L33" xr:uid="{63436AC2-DE31-4598-974E-C319F0D25199}"/>
    <dataValidation type="list" allowBlank="1" showInputMessage="1" showErrorMessage="1" sqref="O8:O21 G8:G21 W8:W21 G27:G40 O27:O40 W27:W40" xr:uid="{B99FC70D-6AA4-4566-84E9-3FBD4EF95D39}">
      <formula1>"Mensalmente,Fim de ano,Uma vez"</formula1>
    </dataValidation>
  </dataValidations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sidnei junior</cp:lastModifiedBy>
  <cp:revision/>
  <dcterms:created xsi:type="dcterms:W3CDTF">2025-10-23T21:20:12Z</dcterms:created>
  <dcterms:modified xsi:type="dcterms:W3CDTF">2025-12-24T20:15:41Z</dcterms:modified>
  <cp:category/>
  <cp:contentStatus/>
</cp:coreProperties>
</file>